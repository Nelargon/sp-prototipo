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ca4b21c0a14a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55b3e9fe3ceb4268"/>
    <x:sheet xmlns:r="http://schemas.openxmlformats.org/officeDocument/2006/relationships" name="Checklist QA" sheetId="2" r:id="Rc98532a87e374734"/>
    <x:sheet xmlns:r="http://schemas.openxmlformats.org/officeDocument/2006/relationships" name="Tracking Eventos" sheetId="3" r:id="Rc142403c8b554ce6"/>
    <x:sheet xmlns:r="http://schemas.openxmlformats.org/officeDocument/2006/relationships" name="Formularios CRM" sheetId="4" r:id="R007c3685a0e14445"/>
    <x:sheet xmlns:r="http://schemas.openxmlformats.org/officeDocument/2006/relationships" name="Mobile Testing" sheetId="5" r:id="Rb5055e83acfc4175"/>
    <x:sheet xmlns:r="http://schemas.openxmlformats.org/officeDocument/2006/relationships" name="Redirects SEO" sheetId="6" r:id="Rc332adddf544455d"/>
    <x:sheet xmlns:r="http://schemas.openxmlformats.org/officeDocument/2006/relationships" name="Decision Go-NoGo" sheetId="7" r:id="R2c53fc029e5f46d4"/>
    <x:sheet xmlns:r="http://schemas.openxmlformats.org/officeDocument/2006/relationships" name="Listas" sheetId="8" r:id="R1e31763f8032420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FFFFFF"/>
      <x:name val="Carlito"/>
    </x:font>
    <x:font>
      <x:sz val="10"/>
      <x:color rgb="FF3D3D3D"/>
      <x:name val="Carlito"/>
    </x:font>
    <x:font>
      <x:b/>
      <x:sz val="16"/>
      <x:color rgb="FF003B71"/>
      <x:name val="Carlito"/>
    </x:font>
    <x:font>
      <x:b/>
      <x:sz val="14"/>
      <x:color rgb="FF003B7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03B71"/>
      </x:patternFill>
    </x:fill>
    <x:fill>
      <x:patternFill patternType="solid">
        <x:fgColor rgb="FFE6F7F6"/>
      </x:patternFill>
    </x:fill>
    <x:fill>
      <x:patternFill patternType="solid">
        <x:fgColor rgb="FF00BCB4"/>
      </x:patternFill>
    </x:fill>
    <x:fill>
      <x:patternFill patternType="solid">
        <x:fgColor rgb="FFFFFFFF"/>
      </x:patternFill>
    </x:fill>
  </x:fills>
  <x:borders count="2">
    <x:border/>
    <x:border/>
  </x:borders>
  <x:cellStyleXfs count="1">
    <x:xf numFmtId="0" fontId="0" fillId="0" borderId="0"/>
  </x:cellStyleXfs>
  <x:cellXfs count="4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left"/>
    </x:xf>
    <x:xf numFmtId="0" fontId="3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left"/>
    </x:xf>
    <x:xf numFmtId="0" fontId="3" fillId="3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horizont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</x:cellXfs>
  <x:cellStyles count="1">
    <x:cellStyle name="Normal" xfId="0"/>
  </x:cellStyles>
  <x:dxfs count="3"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bde16afb25463c" /><Relationship Type="http://schemas.openxmlformats.org/officeDocument/2006/relationships/theme" Target="/xl/theme/theme1.xml" Id="R78b98f041ae5402a" /><Relationship Type="http://schemas.openxmlformats.org/officeDocument/2006/relationships/sharedStrings" Target="/xl/sharedStrings.xml" Id="Red9666a4018d4ec6" /><Relationship Type="http://schemas.openxmlformats.org/officeDocument/2006/relationships/worksheet" Target="/xl/worksheets/sheet1.xml" Id="R55b3e9fe3ceb4268" /><Relationship Type="http://schemas.openxmlformats.org/officeDocument/2006/relationships/worksheet" Target="/xl/worksheets/sheet2.xml" Id="Rc98532a87e374734" /><Relationship Type="http://schemas.openxmlformats.org/officeDocument/2006/relationships/worksheet" Target="/xl/worksheets/sheet3.xml" Id="Rc142403c8b554ce6" /><Relationship Type="http://schemas.openxmlformats.org/officeDocument/2006/relationships/worksheet" Target="/xl/worksheets/sheet4.xml" Id="R007c3685a0e14445" /><Relationship Type="http://schemas.openxmlformats.org/officeDocument/2006/relationships/worksheet" Target="/xl/worksheets/sheet5.xml" Id="Rb5055e83acfc4175" /><Relationship Type="http://schemas.openxmlformats.org/officeDocument/2006/relationships/worksheet" Target="/xl/worksheets/sheet6.xml" Id="Rc332adddf544455d" /><Relationship Type="http://schemas.openxmlformats.org/officeDocument/2006/relationships/worksheet" Target="/xl/worksheets/sheet7.xml" Id="R2c53fc029e5f46d4" /><Relationship Type="http://schemas.openxmlformats.org/officeDocument/2006/relationships/worksheet" Target="/xl/worksheets/sheet8.xml" Id="R1e31763f80324202" /></Relationships>
</file>

<file path=xl/tables/table1.xml><?xml version="1.0" encoding="utf-8"?>
<x:table xmlns:x="http://schemas.openxmlformats.org/spreadsheetml/2006/main" id="1" name="ChecklistQATable" displayName="ChecklistQATable" ref="A1:J29" headerRowCount="1">
  <x:tableColumns count="10">
    <x:tableColumn id="1" name="ID"/>
    <x:tableColumn id="2" name="Área"/>
    <x:tableColumn id="3" name="Ítem"/>
    <x:tableColumn id="4" name="Criterio de aceptación"/>
    <x:tableColumn id="5" name="Responsable"/>
    <x:tableColumn id="6" name="Prioridad"/>
    <x:tableColumn id="7" name="Estado"/>
    <x:tableColumn id="8" name="Bloqueante"/>
    <x:tableColumn id="9" name="Evidencia / link"/>
    <x:tableColumn id="10" name="Notas"/>
  </x:tableColumns>
  <x:tableStyleInfo name="TableStyleMedium2" showRowStripes="1"/>
</x:table>
</file>

<file path=xl/tables/table2.xml><?xml version="1.0" encoding="utf-8"?>
<x:table xmlns:x="http://schemas.openxmlformats.org/spreadsheetml/2006/main" id="2" name="TrackingEventsTable" displayName="TrackingEventsTable" ref="A1:G12" headerRowCount="1">
  <x:tableColumns count="7">
    <x:tableColumn id="1" name="Evento"/>
    <x:tableColumn id="2" name="Disparador"/>
    <x:tableColumn id="3" name="Parámetros mínimos"/>
    <x:tableColumn id="4" name="Destino"/>
    <x:tableColumn id="5" name="Prioridad"/>
    <x:tableColumn id="6" name="Estado"/>
    <x:tableColumn id="7" name="Notas"/>
  </x:tableColumns>
  <x:tableStyleInfo name="TableStyleMedium2" showRowStripes="1"/>
</x:table>
</file>

<file path=xl/tables/table3.xml><?xml version="1.0" encoding="utf-8"?>
<x:table xmlns:x="http://schemas.openxmlformats.org/spreadsheetml/2006/main" id="3" name="FormsCRMTable" displayName="FormsCRMTable" ref="A1:G6" headerRowCount="1">
  <x:tableColumns count="7">
    <x:tableColumn id="1" name="Formulario"/>
    <x:tableColumn id="2" name="Campos mínimos"/>
    <x:tableColumn id="3" name="Destino"/>
    <x:tableColumn id="4" name="Asignación"/>
    <x:tableColumn id="5" name="SLA"/>
    <x:tableColumn id="6" name="Estado"/>
    <x:tableColumn id="7" name="Notas"/>
  </x:tableColumns>
  <x:tableStyleInfo name="TableStyleMedium2" showRowStripes="1"/>
</x:table>
</file>

<file path=xl/tables/table4.xml><?xml version="1.0" encoding="utf-8"?>
<x:table xmlns:x="http://schemas.openxmlformats.org/spreadsheetml/2006/main" id="4" name="MobileTestingTable" displayName="MobileTestingTable" ref="A1:G10" headerRowCount="1">
  <x:tableColumns count="7">
    <x:tableColumn id="1" name="Dispositivo / navegador"/>
    <x:tableColumn id="2" name="Página/flujo"/>
    <x:tableColumn id="3" name="Qué probar"/>
    <x:tableColumn id="4" name="Resultado"/>
    <x:tableColumn id="5" name="Responsable"/>
    <x:tableColumn id="6" name="Evidencia"/>
    <x:tableColumn id="7" name="Notas"/>
  </x:tableColumns>
  <x:tableStyleInfo name="TableStyleMedium2" showRowStripes="1"/>
</x:table>
</file>

<file path=xl/tables/table5.xml><?xml version="1.0" encoding="utf-8"?>
<x:table xmlns:x="http://schemas.openxmlformats.org/spreadsheetml/2006/main" id="5" name="RedirectsSEOTable" displayName="RedirectsSEOTable" ref="A1:F4" headerRowCount="1">
  <x:tableColumns count="6">
    <x:tableColumn id="1" name="URL actual"/>
    <x:tableColumn id="2" name="URL nueva"/>
    <x:tableColumn id="3" name="Status HTTP esperado"/>
    <x:tableColumn id="4" name="Probado"/>
    <x:tableColumn id="5" name="Resultado"/>
    <x:tableColumn id="6" name="Nota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d7c83028464404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282f76c86f942f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29188b9e1b84d8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1908e1d8634437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e45712ce52c4040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0" hidden="0" customWidth="1"/>
  </x:cols>
  <x:sheetData>
    <x:row r="1" ht="32" customHeight="1">
      <x:c r="A1" s="21" t="str">
        <x:v>06 · Checklist QA y Aprobación de Lanzamiento — Salud Protegida</x:v>
      </x:c>
      <x:c r="B1" s="21"/>
      <x:c r="C1" s="21"/>
      <x:c r="D1" s="21"/>
      <x:c r="E1" s="21"/>
      <x:c r="F1" s="21"/>
      <x:c r="G1" s="21"/>
    </x:row>
    <x:row r="3" ht="28" customHeight="1">
      <x:c r="A3" s="30" t="str">
        <x:v>Objetivo</x:v>
      </x:c>
      <x:c r="B3" s="14" t="str">
        <x:v>Evitar lanzar una web “linda” pero incompleta, sin medición o con fallas de conversión.</x:v>
      </x:c>
      <x:c r="D3" s="6" t="str">
        <x:v>Total ítems</x:v>
      </x:c>
      <x:c r="E3" s="6" t="str">
        <x:v>Aprobados</x:v>
      </x:c>
      <x:c r="F3" s="6" t="str">
        <x:v>Bloqueados</x:v>
      </x:c>
      <x:c r="G3" s="6" t="str">
        <x:v>Pendientes</x:v>
      </x:c>
    </x:row>
    <x:row r="4" ht="28" customHeight="1">
      <x:c r="A4" s="30" t="str">
        <x:v>Uso</x:v>
      </x:c>
      <x:c r="B4" s="14" t="str">
        <x:v>Cada ítem debe tener responsable, estado, evidencia y decisión antes del go-live.</x:v>
      </x:c>
      <x:c r="D4" s="38" t="n">
        <x:f>COUNTA('Checklist QA'!A2:A200)</x:f>
        <x:v>28</x:v>
      </x:c>
      <x:c r="E4" s="38" t="n">
        <x:f>COUNTIF('Checklist QA'!G2:G200,"Aprobado")</x:f>
        <x:v>0</x:v>
      </x:c>
      <x:c r="F4" s="38" t="n">
        <x:f>COUNTIF('Checklist QA'!G2:G200,"Bloqueado")</x:f>
        <x:v>0</x:v>
      </x:c>
      <x:c r="G4" s="38" t="n">
        <x:f>COUNTIF('Checklist QA'!G2:G200,"En proceso")+COUNTIF('Checklist QA'!G2:G200,"No iniciado")</x:f>
        <x:v>28</x:v>
      </x:c>
    </x:row>
    <x:row r="5" ht="28" customHeight="1">
      <x:c r="A5" s="30" t="str">
        <x:v>Regla</x:v>
      </x:c>
      <x:c r="B5" s="14" t="str">
        <x:v>Un ítem bloqueante rechazado o bloqueado impide lanzamiento.</x:v>
      </x:c>
    </x:row>
    <x:row r="6" ht="28" customHeight="1">
      <x:c r="A6" s="30" t="str">
        <x:v>Áreas</x:v>
      </x:c>
      <x:c r="B6" s="14" t="str">
        <x:v>UX, Contenido, Técnico, SEO, Analytics, CRM, Mobile y Legal.</x:v>
      </x:c>
    </x:row>
    <x:row r="7" ht="28" customHeight="1">
      <x:c r="A7" s="30" t="str">
        <x:v>Aprobación final</x:v>
      </x:c>
      <x:c r="B7" s="14" t="str">
        <x:v>Dirección + Marketing + TI + Comercial + CX.</x:v>
      </x:c>
    </x:row>
    <x:row r="8" ht="28" customHeight="1">
      <x:c r="A8" s="30" t="str">
        <x:v>Frecuencia</x:v>
      </x:c>
      <x:c r="B8" s="14" t="str">
        <x:v>Revisión semanal durante desarrollo y diaria la semana de lanzamiento.</x:v>
      </x:c>
    </x:row>
    <x:row r="9" ht="28" customHeight="1">
      <x:c r="A9" s="30" t="str">
        <x:v>Fuente</x:v>
      </x:c>
      <x:c r="B9" s="14" t="str">
        <x:v>Brief maestro, alcance funcional, requerimientos técnicos y sitemap.</x:v>
      </x:c>
    </x:row>
    <x:row r="10" ht="28" customHeight="1">
      <x:c r="A10" s="30" t="str">
        <x:v>Última actualización</x:v>
      </x:c>
      <x:c r="B10" s="14" t="str">
        <x:v>Junio 2026</x:v>
      </x:c>
    </x:row>
    <x:row r="11" ht="28" customHeight="1">
      <x:c r="A11" s="30" t="str">
        <x:v>Nota</x:v>
      </x:c>
      <x:c r="B11" s="14" t="str">
        <x:v>Usar las columnas de evidencia para links a capturas, tickets o documentos.</x:v>
      </x:c>
    </x:row>
  </x:sheetData>
  <x:mergeCells>
    <x:mergeCell ref="A1:G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6" hidden="0" customWidth="1"/>
    <x:col min="3" max="3" width="30" hidden="0" customWidth="1"/>
    <x:col min="4" max="4" width="54" hidden="0" customWidth="1"/>
    <x:col min="5" max="5" width="24" hidden="0" customWidth="1"/>
    <x:col min="6" max="6" width="12" hidden="0" customWidth="1"/>
    <x:col min="7" max="7" width="16" hidden="0" customWidth="1"/>
    <x:col min="8" max="8" width="14" hidden="0" customWidth="1"/>
    <x:col min="9" max="9" width="28" hidden="0" customWidth="1"/>
    <x:col min="10" max="10" width="40" hidden="0" customWidth="1"/>
  </x:cols>
  <x:sheetData>
    <x:row r="1" ht="28" customHeight="1">
      <x:c r="A1" s="6" t="str">
        <x:v>ID</x:v>
      </x:c>
      <x:c r="B1" s="6" t="str">
        <x:v>Área</x:v>
      </x:c>
      <x:c r="C1" s="6" t="str">
        <x:v>Ítem</x:v>
      </x:c>
      <x:c r="D1" s="6" t="str">
        <x:v>Criterio de aceptación</x:v>
      </x:c>
      <x:c r="E1" s="6" t="str">
        <x:v>Responsable</x:v>
      </x:c>
      <x:c r="F1" s="6" t="str">
        <x:v>Prioridad</x:v>
      </x:c>
      <x:c r="G1" s="6" t="str">
        <x:v>Estado</x:v>
      </x:c>
      <x:c r="H1" s="6" t="str">
        <x:v>Bloqueante</x:v>
      </x:c>
      <x:c r="I1" s="6" t="str">
        <x:v>Evidencia / link</x:v>
      </x:c>
      <x:c r="J1" s="6" t="str">
        <x:v>Notas</x:v>
      </x:c>
    </x:row>
    <x:row r="2">
      <x:c r="A2" s="14" t="n">
        <x:v>1</x:v>
      </x:c>
      <x:c r="B2" s="14" t="str">
        <x:v>UX</x:v>
      </x:c>
      <x:c r="C2" s="14" t="str">
        <x:v>Propuesta de valor visible</x:v>
      </x:c>
      <x:c r="D2" s="14" t="str">
        <x:v>El usuario entiende qué ofrece SP en menos de 10 segundos.</x:v>
      </x:c>
      <x:c r="E2" s="14" t="str">
        <x:v>Marketing</x:v>
      </x:c>
      <x:c r="F2" s="14" t="str">
        <x:v>Alta</x:v>
      </x:c>
      <x:c r="G2" s="14" t="str">
        <x:v>No iniciado</x:v>
      </x:c>
      <x:c r="H2" s="14" t="str">
        <x:v>Sí</x:v>
      </x:c>
      <x:c r="I2" s="14" t="str"/>
      <x:c r="J2" s="14" t="str"/>
    </x:row>
    <x:row r="3">
      <x:c r="A3" s="14" t="n">
        <x:v>2</x:v>
      </x:c>
      <x:c r="B3" s="14" t="str">
        <x:v>UX</x:v>
      </x:c>
      <x:c r="C3" s="14" t="str">
        <x:v>CTA principal claro</x:v>
      </x:c>
      <x:c r="D3" s="14" t="str">
        <x:v>Cada página clave tiene un CTA principal y uno secundario máximo.</x:v>
      </x:c>
      <x:c r="E3" s="14" t="str">
        <x:v>Marketing</x:v>
      </x:c>
      <x:c r="F3" s="14" t="str">
        <x:v>Alta</x:v>
      </x:c>
      <x:c r="G3" s="14" t="str">
        <x:v>No iniciado</x:v>
      </x:c>
      <x:c r="H3" s="14" t="str">
        <x:v>Sí</x:v>
      </x:c>
      <x:c r="I3" s="14" t="str"/>
      <x:c r="J3" s="14" t="str"/>
    </x:row>
    <x:row r="4">
      <x:c r="A4" s="14" t="n">
        <x:v>3</x:v>
      </x:c>
      <x:c r="B4" s="14" t="str">
        <x:v>UX</x:v>
      </x:c>
      <x:c r="C4" s="14" t="str">
        <x:v>Comparador mobile-first</x:v>
      </x:c>
      <x:c r="D4" s="14" t="str">
        <x:v>No se usa tabla desktop comprimida; existe experiencia móvil usable.</x:v>
      </x:c>
      <x:c r="E4" s="14" t="str">
        <x:v>Proveedor UX</x:v>
      </x:c>
      <x:c r="F4" s="14" t="str">
        <x:v>Alta</x:v>
      </x:c>
      <x:c r="G4" s="14" t="str">
        <x:v>No iniciado</x:v>
      </x:c>
      <x:c r="H4" s="14" t="str">
        <x:v>Sí</x:v>
      </x:c>
      <x:c r="I4" s="14" t="str"/>
      <x:c r="J4" s="14" t="str"/>
    </x:row>
    <x:row r="5">
      <x:c r="A5" s="14" t="n">
        <x:v>4</x:v>
      </x:c>
      <x:c r="B5" s="14" t="str">
        <x:v>UX</x:v>
      </x:c>
      <x:c r="C5" s="14" t="str">
        <x:v>Recomendador de planes</x:v>
      </x:c>
      <x:c r="D5" s="14" t="str">
        <x:v>Flujo de 5–7 preguntas; devuelve plan y explicación.</x:v>
      </x:c>
      <x:c r="E5" s="14" t="str">
        <x:v>Proveedor UX + Comercial</x:v>
      </x:c>
      <x:c r="F5" s="14" t="str">
        <x:v>Alta</x:v>
      </x:c>
      <x:c r="G5" s="14" t="str">
        <x:v>No iniciado</x:v>
      </x:c>
      <x:c r="H5" s="14" t="str">
        <x:v>Sí</x:v>
      </x:c>
      <x:c r="I5" s="14" t="str"/>
      <x:c r="J5" s="14" t="str"/>
    </x:row>
    <x:row r="6">
      <x:c r="A6" s="14" t="n">
        <x:v>5</x:v>
      </x:c>
      <x:c r="B6" s="14" t="str">
        <x:v>UX</x:v>
      </x:c>
      <x:c r="C6" s="14" t="str">
        <x:v>Buscador de red con fallback</x:v>
      </x:c>
      <x:c r="D6" s="14" t="str">
        <x:v>Si no hay resultados, muestra alternativas y WhatsApp.</x:v>
      </x:c>
      <x:c r="E6" s="14" t="str">
        <x:v>Proveedor UX + CX</x:v>
      </x:c>
      <x:c r="F6" s="14" t="str">
        <x:v>Alta</x:v>
      </x:c>
      <x:c r="G6" s="14" t="str">
        <x:v>No iniciado</x:v>
      </x:c>
      <x:c r="H6" s="14" t="str">
        <x:v>Sí</x:v>
      </x:c>
      <x:c r="I6" s="14" t="str"/>
      <x:c r="J6" s="14" t="str"/>
    </x:row>
    <x:row r="7">
      <x:c r="A7" s="14" t="n">
        <x:v>6</x:v>
      </x:c>
      <x:c r="B7" s="14" t="str">
        <x:v>Contenido</x:v>
      </x:c>
      <x:c r="C7" s="14" t="str">
        <x:v>Planes validados</x:v>
      </x:c>
      <x:c r="D7" s="14" t="str">
        <x:v>Nombres, coberturas, copagos, carencias, topes y precios desde aprobados.</x:v>
      </x:c>
      <x:c r="E7" s="14" t="str">
        <x:v>Producto + Dir. Médica</x:v>
      </x:c>
      <x:c r="F7" s="14" t="str">
        <x:v>Alta</x:v>
      </x:c>
      <x:c r="G7" s="14" t="str">
        <x:v>No iniciado</x:v>
      </x:c>
      <x:c r="H7" s="14" t="str">
        <x:v>Sí</x:v>
      </x:c>
      <x:c r="I7" s="14" t="str"/>
      <x:c r="J7" s="14" t="str"/>
    </x:row>
    <x:row r="8">
      <x:c r="A8" s="14" t="n">
        <x:v>7</x:v>
      </x:c>
      <x:c r="B8" s="14" t="str">
        <x:v>Contenido</x:v>
      </x:c>
      <x:c r="C8" s="14" t="str">
        <x:v>No hay placeholders</x:v>
      </x:c>
      <x:c r="D8" s="14" t="str">
        <x:v>No quedan textos [Nombre], [X], lorem ipsum, fotos temporales o datos de ejemplo.</x:v>
      </x:c>
      <x:c r="E8" s="14" t="str">
        <x:v>Marketing</x:v>
      </x:c>
      <x:c r="F8" s="14" t="str">
        <x:v>Alta</x:v>
      </x:c>
      <x:c r="G8" s="14" t="str">
        <x:v>No iniciado</x:v>
      </x:c>
      <x:c r="H8" s="14" t="str">
        <x:v>Sí</x:v>
      </x:c>
      <x:c r="I8" s="14" t="str"/>
      <x:c r="J8" s="14" t="str"/>
    </x:row>
    <x:row r="9">
      <x:c r="A9" s="14" t="n">
        <x:v>8</x:v>
      </x:c>
      <x:c r="B9" s="14" t="str">
        <x:v>Contenido</x:v>
      </x:c>
      <x:c r="C9" s="14" t="str">
        <x:v>FAQs por objeción</x:v>
      </x:c>
      <x:c r="D9" s="14" t="str">
        <x:v>Carencias, copagos, red, pagos, autorizaciones y baja/cambio están cubiertos.</x:v>
      </x:c>
      <x:c r="E9" s="14" t="str">
        <x:v>CX + Marketing</x:v>
      </x:c>
      <x:c r="F9" s="14" t="str">
        <x:v>Alta</x:v>
      </x:c>
      <x:c r="G9" s="14" t="str">
        <x:v>No iniciado</x:v>
      </x:c>
      <x:c r="H9" s="14" t="str">
        <x:v>No</x:v>
      </x:c>
      <x:c r="I9" s="14" t="str"/>
      <x:c r="J9" s="14" t="str"/>
    </x:row>
    <x:row r="10">
      <x:c r="A10" s="14" t="n">
        <x:v>9</x:v>
      </x:c>
      <x:c r="B10" s="14" t="str">
        <x:v>Contenido</x:v>
      </x:c>
      <x:c r="C10" s="14" t="str">
        <x:v>Guía del asegurado</x:v>
      </x:c>
      <x:c r="D10" s="14" t="str">
        <x:v>Paso a paso de uso, pagos, autorizaciones, urgencias y portal.</x:v>
      </x:c>
      <x:c r="E10" s="14" t="str">
        <x:v>CX</x:v>
      </x:c>
      <x:c r="F10" s="14" t="str">
        <x:v>Alta</x:v>
      </x:c>
      <x:c r="G10" s="14" t="str">
        <x:v>No iniciado</x:v>
      </x:c>
      <x:c r="H10" s="14" t="str">
        <x:v>Sí</x:v>
      </x:c>
      <x:c r="I10" s="14" t="str"/>
      <x:c r="J10" s="14" t="str"/>
    </x:row>
    <x:row r="11">
      <x:c r="A11" s="14" t="n">
        <x:v>10</x:v>
      </x:c>
      <x:c r="B11" s="14" t="str">
        <x:v>Técnico</x:v>
      </x:c>
      <x:c r="C11" s="14" t="str">
        <x:v>CMS administrable</x:v>
      </x:c>
      <x:c r="D11" s="14" t="str">
        <x:v>SP puede editar páginas, FAQs, planes, beneficios, descargables y landings.</x:v>
      </x:c>
      <x:c r="E11" s="14" t="str">
        <x:v>Proveedor Tech</x:v>
      </x:c>
      <x:c r="F11" s="14" t="str">
        <x:v>Alta</x:v>
      </x:c>
      <x:c r="G11" s="14" t="str">
        <x:v>No iniciado</x:v>
      </x:c>
      <x:c r="H11" s="14" t="str">
        <x:v>Sí</x:v>
      </x:c>
      <x:c r="I11" s="14" t="str"/>
      <x:c r="J11" s="14" t="str"/>
    </x:row>
    <x:row r="12">
      <x:c r="A12" s="14" t="n">
        <x:v>11</x:v>
      </x:c>
      <x:c r="B12" s="14" t="str">
        <x:v>Técnico</x:v>
      </x:c>
      <x:c r="C12" s="14" t="str">
        <x:v>Hosting y dominio bajo propiedad SP</x:v>
      </x:c>
      <x:c r="D12" s="14" t="str">
        <x:v>SP tiene accesos admin y propiedad de dominio/hosting/cuentas críticas.</x:v>
      </x:c>
      <x:c r="E12" s="14" t="str">
        <x:v>TI</x:v>
      </x:c>
      <x:c r="F12" s="14" t="str">
        <x:v>Alta</x:v>
      </x:c>
      <x:c r="G12" s="14" t="str">
        <x:v>No iniciado</x:v>
      </x:c>
      <x:c r="H12" s="14" t="str">
        <x:v>Sí</x:v>
      </x:c>
      <x:c r="I12" s="14" t="str"/>
      <x:c r="J12" s="14" t="str"/>
    </x:row>
    <x:row r="13">
      <x:c r="A13" s="14" t="n">
        <x:v>12</x:v>
      </x:c>
      <x:c r="B13" s="14" t="str">
        <x:v>Técnico</x:v>
      </x:c>
      <x:c r="C13" s="14" t="str">
        <x:v>Backups activos</x:v>
      </x:c>
      <x:c r="D13" s="14" t="str">
        <x:v>Backups automáticos configurados y restauración probada.</x:v>
      </x:c>
      <x:c r="E13" s="14" t="str">
        <x:v>Proveedor Tech + TI</x:v>
      </x:c>
      <x:c r="F13" s="14" t="str">
        <x:v>Alta</x:v>
      </x:c>
      <x:c r="G13" s="14" t="str">
        <x:v>No iniciado</x:v>
      </x:c>
      <x:c r="H13" s="14" t="str">
        <x:v>Sí</x:v>
      </x:c>
      <x:c r="I13" s="14" t="str"/>
      <x:c r="J13" s="14" t="str"/>
    </x:row>
    <x:row r="14">
      <x:c r="A14" s="14" t="n">
        <x:v>13</x:v>
      </x:c>
      <x:c r="B14" s="14" t="str">
        <x:v>Técnico</x:v>
      </x:c>
      <x:c r="C14" s="14" t="str">
        <x:v>SSL activo</x:v>
      </x:c>
      <x:c r="D14" s="14" t="str">
        <x:v>Todo el sitio carga por HTTPS sin errores.</x:v>
      </x:c>
      <x:c r="E14" s="14" t="str">
        <x:v>Proveedor Tech</x:v>
      </x:c>
      <x:c r="F14" s="14" t="str">
        <x:v>Alta</x:v>
      </x:c>
      <x:c r="G14" s="14" t="str">
        <x:v>No iniciado</x:v>
      </x:c>
      <x:c r="H14" s="14" t="str">
        <x:v>Sí</x:v>
      </x:c>
      <x:c r="I14" s="14" t="str"/>
      <x:c r="J14" s="14" t="str"/>
    </x:row>
    <x:row r="15">
      <x:c r="A15" s="14" t="n">
        <x:v>14</x:v>
      </x:c>
      <x:c r="B15" s="14" t="str">
        <x:v>SEO</x:v>
      </x:c>
      <x:c r="C15" s="14" t="str">
        <x:v>URLs limpias</x:v>
      </x:c>
      <x:c r="D15" s="14" t="str">
        <x:v>URLs son legibles, sin parámetros innecesarios y alineadas al sitemap.</x:v>
      </x:c>
      <x:c r="E15" s="14" t="str">
        <x:v>Proveedor SEO</x:v>
      </x:c>
      <x:c r="F15" s="14" t="str">
        <x:v>Alta</x:v>
      </x:c>
      <x:c r="G15" s="14" t="str">
        <x:v>No iniciado</x:v>
      </x:c>
      <x:c r="H15" s="14" t="str">
        <x:v>Sí</x:v>
      </x:c>
      <x:c r="I15" s="14" t="str"/>
      <x:c r="J15" s="14" t="str"/>
    </x:row>
    <x:row r="16">
      <x:c r="A16" s="14" t="n">
        <x:v>15</x:v>
      </x:c>
      <x:c r="B16" s="14" t="str">
        <x:v>SEO</x:v>
      </x:c>
      <x:c r="C16" s="14" t="str">
        <x:v>Metadatos completos</x:v>
      </x:c>
      <x:c r="D16" s="14" t="str">
        <x:v>Cada página clave tiene title, description, H1 y Open Graph.</x:v>
      </x:c>
      <x:c r="E16" s="14" t="str">
        <x:v>Proveedor SEO + Marketing</x:v>
      </x:c>
      <x:c r="F16" s="14" t="str">
        <x:v>Alta</x:v>
      </x:c>
      <x:c r="G16" s="14" t="str">
        <x:v>No iniciado</x:v>
      </x:c>
      <x:c r="H16" s="14" t="str">
        <x:v>No</x:v>
      </x:c>
      <x:c r="I16" s="14" t="str"/>
      <x:c r="J16" s="14" t="str"/>
    </x:row>
    <x:row r="17">
      <x:c r="A17" s="14" t="n">
        <x:v>16</x:v>
      </x:c>
      <x:c r="B17" s="14" t="str">
        <x:v>SEO</x:v>
      </x:c>
      <x:c r="C17" s="14" t="str">
        <x:v>Redirecciones 301</x:v>
      </x:c>
      <x:c r="D17" s="14" t="str">
        <x:v>Todas las URLs antiguas relevantes tienen destino nuevo probado.</x:v>
      </x:c>
      <x:c r="E17" s="14" t="str">
        <x:v>Proveedor SEO + TI</x:v>
      </x:c>
      <x:c r="F17" s="14" t="str">
        <x:v>Alta</x:v>
      </x:c>
      <x:c r="G17" s="14" t="str">
        <x:v>No iniciado</x:v>
      </x:c>
      <x:c r="H17" s="14" t="str">
        <x:v>Sí</x:v>
      </x:c>
      <x:c r="I17" s="14" t="str"/>
      <x:c r="J17" s="14" t="str"/>
    </x:row>
    <x:row r="18">
      <x:c r="A18" s="14" t="n">
        <x:v>17</x:v>
      </x:c>
      <x:c r="B18" s="14" t="str">
        <x:v>Analytics</x:v>
      </x:c>
      <x:c r="C18" s="14" t="str">
        <x:v>GA4 instalado</x:v>
      </x:c>
      <x:c r="D18" s="14" t="str">
        <x:v>GA4 recibe tráfico en producción y staging separado o filtrado.</x:v>
      </x:c>
      <x:c r="E18" s="14" t="str">
        <x:v>Proveedor + Marketing</x:v>
      </x:c>
      <x:c r="F18" s="14" t="str">
        <x:v>Alta</x:v>
      </x:c>
      <x:c r="G18" s="14" t="str">
        <x:v>No iniciado</x:v>
      </x:c>
      <x:c r="H18" s="14" t="str">
        <x:v>Sí</x:v>
      </x:c>
      <x:c r="I18" s="14" t="str"/>
      <x:c r="J18" s="14" t="str"/>
    </x:row>
    <x:row r="19">
      <x:c r="A19" s="14" t="n">
        <x:v>18</x:v>
      </x:c>
      <x:c r="B19" s="14" t="str">
        <x:v>Analytics</x:v>
      </x:c>
      <x:c r="C19" s="14" t="str">
        <x:v>GTM bajo propiedad SP</x:v>
      </x:c>
      <x:c r="D19" s="14" t="str">
        <x:v>GTM está en cuenta de SP y con permisos correctos.</x:v>
      </x:c>
      <x:c r="E19" s="14" t="str">
        <x:v>Marketing + TI</x:v>
      </x:c>
      <x:c r="F19" s="14" t="str">
        <x:v>Alta</x:v>
      </x:c>
      <x:c r="G19" s="14" t="str">
        <x:v>No iniciado</x:v>
      </x:c>
      <x:c r="H19" s="14" t="str">
        <x:v>Sí</x:v>
      </x:c>
      <x:c r="I19" s="14" t="str"/>
      <x:c r="J19" s="14" t="str"/>
    </x:row>
    <x:row r="20">
      <x:c r="A20" s="14" t="n">
        <x:v>19</x:v>
      </x:c>
      <x:c r="B20" s="14" t="str">
        <x:v>Analytics</x:v>
      </x:c>
      <x:c r="C20" s="14" t="str">
        <x:v>Eventos clave configurados</x:v>
      </x:c>
      <x:c r="D20" s="14" t="str">
        <x:v>WhatsApp, formularios, cotizar, descargas, recomendador, buscador y portal miden.</x:v>
      </x:c>
      <x:c r="E20" s="14" t="str">
        <x:v>Marketing</x:v>
      </x:c>
      <x:c r="F20" s="14" t="str">
        <x:v>Alta</x:v>
      </x:c>
      <x:c r="G20" s="14" t="str">
        <x:v>No iniciado</x:v>
      </x:c>
      <x:c r="H20" s="14" t="str">
        <x:v>Sí</x:v>
      </x:c>
      <x:c r="I20" s="14" t="str"/>
      <x:c r="J20" s="14" t="str"/>
    </x:row>
    <x:row r="21">
      <x:c r="A21" s="14" t="n">
        <x:v>20</x:v>
      </x:c>
      <x:c r="B21" s="14" t="str">
        <x:v>CRM</x:v>
      </x:c>
      <x:c r="C21" s="14" t="str">
        <x:v>Formulario cotización integrado</x:v>
      </x:c>
      <x:c r="D21" s="14" t="str">
        <x:v>Lead llega al CRM con plan, fuente, campaña y página de origen.</x:v>
      </x:c>
      <x:c r="E21" s="14" t="str">
        <x:v>Comercial + TI</x:v>
      </x:c>
      <x:c r="F21" s="14" t="str">
        <x:v>Alta</x:v>
      </x:c>
      <x:c r="G21" s="14" t="str">
        <x:v>No iniciado</x:v>
      </x:c>
      <x:c r="H21" s="14" t="str">
        <x:v>Sí</x:v>
      </x:c>
      <x:c r="I21" s="14" t="str"/>
      <x:c r="J21" s="14" t="str"/>
    </x:row>
    <x:row r="22">
      <x:c r="A22" s="14" t="n">
        <x:v>21</x:v>
      </x:c>
      <x:c r="B22" s="14" t="str">
        <x:v>CRM</x:v>
      </x:c>
      <x:c r="C22" s="14" t="str">
        <x:v>Formulario empresas integrado</x:v>
      </x:c>
      <x:c r="D22" s="14" t="str">
        <x:v>Lead B2B llega diferenciado y asignable a ejecutivo.</x:v>
      </x:c>
      <x:c r="E22" s="14" t="str">
        <x:v>Comercial B2B</x:v>
      </x:c>
      <x:c r="F22" s="14" t="str">
        <x:v>Alta</x:v>
      </x:c>
      <x:c r="G22" s="14" t="str">
        <x:v>No iniciado</x:v>
      </x:c>
      <x:c r="H22" s="14" t="str">
        <x:v>Sí</x:v>
      </x:c>
      <x:c r="I22" s="14" t="str"/>
      <x:c r="J22" s="14" t="str"/>
    </x:row>
    <x:row r="23">
      <x:c r="A23" s="14" t="n">
        <x:v>22</x:v>
      </x:c>
      <x:c r="B23" s="14" t="str">
        <x:v>CRM</x:v>
      </x:c>
      <x:c r="C23" s="14" t="str">
        <x:v>Confirmación al usuario</x:v>
      </x:c>
      <x:c r="D23" s="14" t="str">
        <x:v>Cada formulario responde con mensaje de próximos pasos.</x:v>
      </x:c>
      <x:c r="E23" s="14" t="str">
        <x:v>Proveedor + CX</x:v>
      </x:c>
      <x:c r="F23" s="14" t="str">
        <x:v>Media</x:v>
      </x:c>
      <x:c r="G23" s="14" t="str">
        <x:v>No iniciado</x:v>
      </x:c>
      <x:c r="H23" s="14" t="str">
        <x:v>No</x:v>
      </x:c>
      <x:c r="I23" s="14" t="str"/>
      <x:c r="J23" s="14" t="str"/>
    </x:row>
    <x:row r="24">
      <x:c r="A24" s="14" t="n">
        <x:v>23</x:v>
      </x:c>
      <x:c r="B24" s="14" t="str">
        <x:v>Mobile</x:v>
      </x:c>
      <x:c r="C24" s="14" t="str">
        <x:v>Prueba iPhone/Android</x:v>
      </x:c>
      <x:c r="D24" s="14" t="str">
        <x:v>Navegación, formularios, comparador, WhatsApp y red funcionan en dispositivos reales.</x:v>
      </x:c>
      <x:c r="E24" s="14" t="str">
        <x:v>Proveedor QA</x:v>
      </x:c>
      <x:c r="F24" s="14" t="str">
        <x:v>Alta</x:v>
      </x:c>
      <x:c r="G24" s="14" t="str">
        <x:v>No iniciado</x:v>
      </x:c>
      <x:c r="H24" s="14" t="str">
        <x:v>Sí</x:v>
      </x:c>
      <x:c r="I24" s="14" t="str"/>
      <x:c r="J24" s="14" t="str"/>
    </x:row>
    <x:row r="25">
      <x:c r="A25" s="14" t="n">
        <x:v>24</x:v>
      </x:c>
      <x:c r="B25" s="14" t="str">
        <x:v>Mobile</x:v>
      </x:c>
      <x:c r="C25" s="14" t="str">
        <x:v>Touch targets</x:v>
      </x:c>
      <x:c r="D25" s="14" t="str">
        <x:v>Botones y acordeones tienen tamaño táctil cómodo.</x:v>
      </x:c>
      <x:c r="E25" s="14" t="str">
        <x:v>Proveedor UX</x:v>
      </x:c>
      <x:c r="F25" s="14" t="str">
        <x:v>Media</x:v>
      </x:c>
      <x:c r="G25" s="14" t="str">
        <x:v>No iniciado</x:v>
      </x:c>
      <x:c r="H25" s="14" t="str">
        <x:v>No</x:v>
      </x:c>
      <x:c r="I25" s="14" t="str"/>
      <x:c r="J25" s="14" t="str"/>
    </x:row>
    <x:row r="26">
      <x:c r="A26" s="14" t="n">
        <x:v>25</x:v>
      </x:c>
      <x:c r="B26" s="14" t="str">
        <x:v>Legal</x:v>
      </x:c>
      <x:c r="C26" s="14" t="str">
        <x:v>Privacidad y consentimiento</x:v>
      </x:c>
      <x:c r="D26" s="14" t="str">
        <x:v>Formularios incluyen consentimiento y link a política de privacidad.</x:v>
      </x:c>
      <x:c r="E26" s="14" t="str">
        <x:v>Legal + Proveedor</x:v>
      </x:c>
      <x:c r="F26" s="14" t="str">
        <x:v>Alta</x:v>
      </x:c>
      <x:c r="G26" s="14" t="str">
        <x:v>No iniciado</x:v>
      </x:c>
      <x:c r="H26" s="14" t="str">
        <x:v>Sí</x:v>
      </x:c>
      <x:c r="I26" s="14" t="str"/>
      <x:c r="J26" s="14" t="str"/>
    </x:row>
    <x:row r="27">
      <x:c r="A27" s="14" t="n">
        <x:v>26</x:v>
      </x:c>
      <x:c r="B27" s="14" t="str">
        <x:v>Legal</x:v>
      </x:c>
      <x:c r="C27" s="14" t="str">
        <x:v>Claims revisados</x:v>
      </x:c>
      <x:c r="D27" s="14" t="str">
        <x:v>No hay promesas no sostenibles sobre cobertura, salud mental o red.</x:v>
      </x:c>
      <x:c r="E27" s="14" t="str">
        <x:v>Legal + Dir. Médica</x:v>
      </x:c>
      <x:c r="F27" s="14" t="str">
        <x:v>Alta</x:v>
      </x:c>
      <x:c r="G27" s="14" t="str">
        <x:v>No iniciado</x:v>
      </x:c>
      <x:c r="H27" s="14" t="str">
        <x:v>Sí</x:v>
      </x:c>
      <x:c r="I27" s="14" t="str"/>
      <x:c r="J27" s="14" t="str"/>
    </x:row>
    <x:row r="28">
      <x:c r="A28" s="14" t="n">
        <x:v>27</x:v>
      </x:c>
      <x:c r="B28" s="14" t="str">
        <x:v>Performance</x:v>
      </x:c>
      <x:c r="C28" s="14" t="str">
        <x:v>Core Web Vitals</x:v>
      </x:c>
      <x:c r="D28" s="14" t="str">
        <x:v>Velocidad mobile aceptable y sin imágenes pesadas innecesarias.</x:v>
      </x:c>
      <x:c r="E28" s="14" t="str">
        <x:v>Proveedor Tech</x:v>
      </x:c>
      <x:c r="F28" s="14" t="str">
        <x:v>Alta</x:v>
      </x:c>
      <x:c r="G28" s="14" t="str">
        <x:v>No iniciado</x:v>
      </x:c>
      <x:c r="H28" s="14" t="str">
        <x:v>Sí</x:v>
      </x:c>
      <x:c r="I28" s="14" t="str"/>
      <x:c r="J28" s="14" t="str"/>
    </x:row>
    <x:row r="29">
      <x:c r="A29" s="14" t="n">
        <x:v>28</x:v>
      </x:c>
      <x:c r="B29" s="14" t="str">
        <x:v>Accesibilidad</x:v>
      </x:c>
      <x:c r="C29" s="14" t="str">
        <x:v>Contraste y navegación</x:v>
      </x:c>
      <x:c r="D29" s="14" t="str">
        <x:v>Textos legibles, contraste adecuado y estructura semántica básica.</x:v>
      </x:c>
      <x:c r="E29" s="14" t="str">
        <x:v>Proveedor UX</x:v>
      </x:c>
      <x:c r="F29" s="14" t="str">
        <x:v>Media</x:v>
      </x:c>
      <x:c r="G29" s="14" t="str">
        <x:v>No iniciado</x:v>
      </x:c>
      <x:c r="H29" s="14" t="str">
        <x:v>No</x:v>
      </x:c>
      <x:c r="I29" s="14" t="str"/>
      <x:c r="J29" s="14" t="str"/>
    </x:row>
  </x:sheetData>
  <x:conditionalFormatting sqref="G2:G200">
    <x:cfRule type="expression" dxfId="0" priority="1">
      <x:formula>G2="Aprobado"</x:formula>
    </x:cfRule>
    <x:cfRule type="expression" dxfId="1" priority="2">
      <x:formula>G2="Bloqueado"</x:formula>
    </x:cfRule>
    <x:cfRule type="expression" dxfId="2" priority="3">
      <x:formula>G2="En proceso"</x:formula>
    </x:cfRule>
  </x:conditionalFormatting>
  <x:dataValidations count="4">
    <x:dataValidation type="list" sqref="B2:B200">
      <x:formula1>Listas!$C$2:$C$9</x:formula1>
    </x:dataValidation>
    <x:dataValidation type="list" sqref="F2:F200">
      <x:formula1>Listas!$B$2:$B$4</x:formula1>
    </x:dataValidation>
    <x:dataValidation type="list" sqref="G2:G200">
      <x:formula1>Listas!$A$2:$A$7</x:formula1>
    </x:dataValidation>
    <x:dataValidation type="list" sqref="H2:H200">
      <x:formula1>Listas!$E$2:$E$3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d7c83028464404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6" hidden="0" customWidth="1"/>
    <x:col min="3" max="3" width="42" hidden="0" customWidth="1"/>
    <x:col min="4" max="4" width="24" hidden="0" customWidth="1"/>
    <x:col min="5" max="5" width="12" hidden="0" customWidth="1"/>
    <x:col min="6" max="6" width="16" hidden="0" customWidth="1"/>
    <x:col min="7" max="7" width="42" hidden="0" customWidth="1"/>
  </x:cols>
  <x:sheetData>
    <x:row r="1" ht="28" customHeight="1">
      <x:c r="A1" s="6" t="str">
        <x:v>Evento</x:v>
      </x:c>
      <x:c r="B1" s="6" t="str">
        <x:v>Disparador</x:v>
      </x:c>
      <x:c r="C1" s="6" t="str">
        <x:v>Parámetros mínimos</x:v>
      </x:c>
      <x:c r="D1" s="6" t="str">
        <x:v>Destino</x:v>
      </x:c>
      <x:c r="E1" s="6" t="str">
        <x:v>Prioridad</x:v>
      </x:c>
      <x:c r="F1" s="6" t="str">
        <x:v>Estado</x:v>
      </x:c>
      <x:c r="G1" s="6" t="str">
        <x:v>Notas</x:v>
      </x:c>
    </x:row>
    <x:row r="2">
      <x:c r="A2" s="14" t="str">
        <x:v>click_whatsapp</x:v>
      </x:c>
      <x:c r="B2" s="14" t="str">
        <x:v>Click en cualquier CTA WhatsApp</x:v>
      </x:c>
      <x:c r="C2" s="14" t="str">
        <x:v>page_path, cta_location, context</x:v>
      </x:c>
      <x:c r="D2" s="14" t="str">
        <x:v>GA4 + Ads/Meta</x:v>
      </x:c>
      <x:c r="E2" s="14" t="str">
        <x:v>Alta</x:v>
      </x:c>
      <x:c r="F2" s="14" t="str">
        <x:v>No iniciado</x:v>
      </x:c>
      <x:c r="G2" s="14" t="str">
        <x:v>Mensajes prellenados según página.</x:v>
      </x:c>
    </x:row>
    <x:row r="3">
      <x:c r="A3" s="14" t="str">
        <x:v>form_submit_quote</x:v>
      </x:c>
      <x:c r="B3" s="14" t="str">
        <x:v>Envío formulario cotización</x:v>
      </x:c>
      <x:c r="C3" s="14" t="str">
        <x:v>plan_interest, page_path, source, campaign</x:v>
      </x:c>
      <x:c r="D3" s="14" t="str">
        <x:v>GA4 + CRM</x:v>
      </x:c>
      <x:c r="E3" s="14" t="str">
        <x:v>Alta</x:v>
      </x:c>
      <x:c r="F3" s="14" t="str">
        <x:v>No iniciado</x:v>
      </x:c>
      <x:c r="G3" s="14" t="str"/>
    </x:row>
    <x:row r="4">
      <x:c r="A4" s="14" t="str">
        <x:v>form_submit_b2b</x:v>
      </x:c>
      <x:c r="B4" s="14" t="str">
        <x:v>Envío formulario empresas</x:v>
      </x:c>
      <x:c r="C4" s="14" t="str">
        <x:v>employee_range, company, page_path, source</x:v>
      </x:c>
      <x:c r="D4" s="14" t="str">
        <x:v>GA4 + CRM</x:v>
      </x:c>
      <x:c r="E4" s="14" t="str">
        <x:v>Alta</x:v>
      </x:c>
      <x:c r="F4" s="14" t="str">
        <x:v>No iniciado</x:v>
      </x:c>
      <x:c r="G4" s="14" t="str"/>
    </x:row>
    <x:row r="5">
      <x:c r="A5" s="14" t="str">
        <x:v>click_quote_plan</x:v>
      </x:c>
      <x:c r="B5" s="14" t="str">
        <x:v>Click Cotizar este plan</x:v>
      </x:c>
      <x:c r="C5" s="14" t="str">
        <x:v>plan_name, page_path</x:v>
      </x:c>
      <x:c r="D5" s="14" t="str">
        <x:v>GA4</x:v>
      </x:c>
      <x:c r="E5" s="14" t="str">
        <x:v>Alta</x:v>
      </x:c>
      <x:c r="F5" s="14" t="str">
        <x:v>No iniciado</x:v>
      </x:c>
      <x:c r="G5" s="14" t="str"/>
    </x:row>
    <x:row r="6">
      <x:c r="A6" s="14" t="str">
        <x:v>download_pdf</x:v>
      </x:c>
      <x:c r="B6" s="14" t="str">
        <x:v>Descarga ficha/guía</x:v>
      </x:c>
      <x:c r="C6" s="14" t="str">
        <x:v>file_name, plan_name, page_path</x:v>
      </x:c>
      <x:c r="D6" s="14" t="str">
        <x:v>GA4</x:v>
      </x:c>
      <x:c r="E6" s="14" t="str">
        <x:v>Media</x:v>
      </x:c>
      <x:c r="F6" s="14" t="str">
        <x:v>No iniciado</x:v>
      </x:c>
      <x:c r="G6" s="14" t="str"/>
    </x:row>
    <x:row r="7">
      <x:c r="A7" s="14" t="str">
        <x:v>plan_finder_start</x:v>
      </x:c>
      <x:c r="B7" s="14" t="str">
        <x:v>Inicio recomendador</x:v>
      </x:c>
      <x:c r="C7" s="14" t="str">
        <x:v>page_path</x:v>
      </x:c>
      <x:c r="D7" s="14" t="str">
        <x:v>GA4</x:v>
      </x:c>
      <x:c r="E7" s="14" t="str">
        <x:v>Alta</x:v>
      </x:c>
      <x:c r="F7" s="14" t="str">
        <x:v>No iniciado</x:v>
      </x:c>
      <x:c r="G7" s="14" t="str"/>
    </x:row>
    <x:row r="8">
      <x:c r="A8" s="14" t="str">
        <x:v>plan_finder_complete</x:v>
      </x:c>
      <x:c r="B8" s="14" t="str">
        <x:v>Resultado recomendador</x:v>
      </x:c>
      <x:c r="C8" s="14" t="str">
        <x:v>recommended_plan, family_size, budget_range</x:v>
      </x:c>
      <x:c r="D8" s="14" t="str">
        <x:v>GA4 + CRM si captura</x:v>
      </x:c>
      <x:c r="E8" s="14" t="str">
        <x:v>Alta</x:v>
      </x:c>
      <x:c r="F8" s="14" t="str">
        <x:v>No iniciado</x:v>
      </x:c>
      <x:c r="G8" s="14" t="str"/>
    </x:row>
    <x:row r="9">
      <x:c r="A9" s="14" t="str">
        <x:v>provider_search</x:v>
      </x:c>
      <x:c r="B9" s="14" t="str">
        <x:v>Búsqueda de red</x:v>
      </x:c>
      <x:c r="C9" s="14" t="str">
        <x:v>search_type, query, plan_filter</x:v>
      </x:c>
      <x:c r="D9" s="14" t="str">
        <x:v>GA4</x:v>
      </x:c>
      <x:c r="E9" s="14" t="str">
        <x:v>Alta</x:v>
      </x:c>
      <x:c r="F9" s="14" t="str">
        <x:v>No iniciado</x:v>
      </x:c>
      <x:c r="G9" s="14" t="str"/>
    </x:row>
    <x:row r="10">
      <x:c r="A10" s="14" t="str">
        <x:v>provider_no_results</x:v>
      </x:c>
      <x:c r="B10" s="14" t="str">
        <x:v>0 resultados en red</x:v>
      </x:c>
      <x:c r="C10" s="14" t="str">
        <x:v>query, filters</x:v>
      </x:c>
      <x:c r="D10" s="14" t="str">
        <x:v>GA4</x:v>
      </x:c>
      <x:c r="E10" s="14" t="str">
        <x:v>Alta</x:v>
      </x:c>
      <x:c r="F10" s="14" t="str">
        <x:v>No iniciado</x:v>
      </x:c>
      <x:c r="G10" s="14" t="str">
        <x:v>Clave para detectar brechas de cartilla.</x:v>
      </x:c>
    </x:row>
    <x:row r="11">
      <x:c r="A11" s="14" t="str">
        <x:v>click_portal</x:v>
      </x:c>
      <x:c r="B11" s="14" t="str">
        <x:v>Click Mi cuenta</x:v>
      </x:c>
      <x:c r="C11" s="14" t="str">
        <x:v>page_path</x:v>
      </x:c>
      <x:c r="D11" s="14" t="str">
        <x:v>GA4</x:v>
      </x:c>
      <x:c r="E11" s="14" t="str">
        <x:v>Media</x:v>
      </x:c>
      <x:c r="F11" s="14" t="str">
        <x:v>No iniciado</x:v>
      </x:c>
      <x:c r="G11" s="14" t="str"/>
    </x:row>
    <x:row r="12">
      <x:c r="A12" s="14" t="str">
        <x:v>click_phone</x:v>
      </x:c>
      <x:c r="B12" s="14" t="str">
        <x:v>Click teléfono</x:v>
      </x:c>
      <x:c r="C12" s="14" t="str">
        <x:v>phone_number, page_path</x:v>
      </x:c>
      <x:c r="D12" s="14" t="str">
        <x:v>GA4</x:v>
      </x:c>
      <x:c r="E12" s="14" t="str">
        <x:v>Media</x:v>
      </x:c>
      <x:c r="F12" s="14" t="str">
        <x:v>No iniciado</x:v>
      </x:c>
      <x:c r="G12" s="14" t="str"/>
    </x:row>
  </x:sheetData>
  <x:dataValidations count="2">
    <x:dataValidation type="list" sqref="E2:E200">
      <x:formula1>Listas!$B$2:$B$4</x:formula1>
    </x:dataValidation>
    <x:dataValidation type="list" sqref="F2:F200">
      <x:formula1>Listas!$A$2:$A$7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282f76c86f942f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8" hidden="0" customWidth="1"/>
    <x:col min="3" max="3" width="28" hidden="0" customWidth="1"/>
    <x:col min="4" max="4" width="24" hidden="0" customWidth="1"/>
    <x:col min="5" max="5" width="20" hidden="0" customWidth="1"/>
    <x:col min="6" max="6" width="16" hidden="0" customWidth="1"/>
    <x:col min="7" max="7" width="40" hidden="0" customWidth="1"/>
  </x:cols>
  <x:sheetData>
    <x:row r="1" ht="28" customHeight="1">
      <x:c r="A1" s="6" t="str">
        <x:v>Formulario</x:v>
      </x:c>
      <x:c r="B1" s="6" t="str">
        <x:v>Campos mínimos</x:v>
      </x:c>
      <x:c r="C1" s="6" t="str">
        <x:v>Destino</x:v>
      </x:c>
      <x:c r="D1" s="6" t="str">
        <x:v>Asignación</x:v>
      </x:c>
      <x:c r="E1" s="6" t="str">
        <x:v>SLA</x:v>
      </x:c>
      <x:c r="F1" s="6" t="str">
        <x:v>Estado</x:v>
      </x:c>
      <x:c r="G1" s="6" t="str">
        <x:v>Notas</x:v>
      </x:c>
    </x:row>
    <x:row r="2">
      <x:c r="A2" s="14" t="str">
        <x:v>Cotización plan</x:v>
      </x:c>
      <x:c r="B2" s="14" t="str">
        <x:v>Nombre, WhatsApp, email, ciudad, plan, cantidad personas, rango edad, fuente/campaña</x:v>
      </x:c>
      <x:c r="C2" s="14" t="str">
        <x:v>CRM + correo comercial</x:v>
      </x:c>
      <x:c r="D2" s="14" t="str">
        <x:v>Vendedor según regla</x:v>
      </x:c>
      <x:c r="E2" s="14" t="str">
        <x:v>&lt;15 min horario laboral</x:v>
      </x:c>
      <x:c r="F2" s="14" t="str">
        <x:v>No iniciado</x:v>
      </x:c>
      <x:c r="G2" s="14" t="str">
        <x:v>Debe incluir consentimiento.</x:v>
      </x:c>
    </x:row>
    <x:row r="3">
      <x:c r="A3" s="14" t="str">
        <x:v>SP Empresas</x:v>
      </x:c>
      <x:c r="B3" s="14" t="str">
        <x:v>Nombre, empresa, cargo, WhatsApp, email, empleados, ciudad, mensaje, fuente/campaña</x:v>
      </x:c>
      <x:c r="C3" s="14" t="str">
        <x:v>CRM B2B + correo ejecutivo</x:v>
      </x:c>
      <x:c r="D3" s="14" t="str">
        <x:v>Ejecutivo B2B</x:v>
      </x:c>
      <x:c r="E3" s="14" t="str">
        <x:v>&lt;24 hs</x:v>
      </x:c>
      <x:c r="F3" s="14" t="str">
        <x:v>No iniciado</x:v>
      </x:c>
      <x:c r="G3" s="14" t="str">
        <x:v>Diferenciar de B2C.</x:v>
      </x:c>
    </x:row>
    <x:row r="4">
      <x:c r="A4" s="14" t="str">
        <x:v>Contacto general</x:v>
      </x:c>
      <x:c r="B4" s="14" t="str">
        <x:v>Nombre, WhatsApp/email, motivo, mensaje</x:v>
      </x:c>
      <x:c r="C4" s="14" t="str">
        <x:v>CX + CRM si aplica</x:v>
      </x:c>
      <x:c r="D4" s="14" t="str">
        <x:v>CX</x:v>
      </x:c>
      <x:c r="E4" s="14" t="str">
        <x:v>&lt;24 hs</x:v>
      </x:c>
      <x:c r="F4" s="14" t="str">
        <x:v>No iniciado</x:v>
      </x:c>
      <x:c r="G4" s="14" t="str">
        <x:v>Categorizar por motivo.</x:v>
      </x:c>
    </x:row>
    <x:row r="5">
      <x:c r="A5" s="14" t="str">
        <x:v>Red no encontrado</x:v>
      </x:c>
      <x:c r="B5" s="14" t="str">
        <x:v>Búsqueda, contacto, plan si aplica</x:v>
      </x:c>
      <x:c r="C5" s="14" t="str">
        <x:v>CX + CRM</x:v>
      </x:c>
      <x:c r="D5" s="14" t="str">
        <x:v>CX/AAP</x:v>
      </x:c>
      <x:c r="E5" s="14" t="str">
        <x:v>&lt;24 hs</x:v>
      </x:c>
      <x:c r="F5" s="14" t="str">
        <x:v>No iniciado</x:v>
      </x:c>
      <x:c r="G5" s="14" t="str">
        <x:v>Gran oportunidad de contención.</x:v>
      </x:c>
    </x:row>
    <x:row r="6">
      <x:c r="A6" s="14" t="str">
        <x:v>Newsletter/blog</x:v>
      </x:c>
      <x:c r="B6" s="14" t="str">
        <x:v>Email, consentimiento</x:v>
      </x:c>
      <x:c r="C6" s="14" t="str">
        <x:v>Marketing</x:v>
      </x:c>
      <x:c r="D6" s="14" t="str">
        <x:v>Automático</x:v>
      </x:c>
      <x:c r="E6" s="14" t="str">
        <x:v>Automático</x:v>
      </x:c>
      <x:c r="F6" s="14" t="str">
        <x:v>No iniciado</x:v>
      </x:c>
      <x:c r="G6" s="14" t="str">
        <x:v>No mezclar con leads comerciales sin consentimiento.</x:v>
      </x:c>
    </x:row>
  </x:sheetData>
  <x:dataValidations count="1">
    <x:dataValidation type="list" sqref="F2:F200">
      <x:formula1>Listas!$A$2:$A$7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29188b9e1b84d81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4" hidden="0" customWidth="1"/>
    <x:col min="3" max="3" width="44" hidden="0" customWidth="1"/>
    <x:col min="4" max="4" width="16" hidden="0" customWidth="1"/>
    <x:col min="5" max="5" width="22" hidden="0" customWidth="1"/>
    <x:col min="6" max="6" width="28" hidden="0" customWidth="1"/>
    <x:col min="7" max="7" width="42" hidden="0" customWidth="1"/>
  </x:cols>
  <x:sheetData>
    <x:row r="1" ht="28" customHeight="1">
      <x:c r="A1" s="6" t="str">
        <x:v>Dispositivo / navegador</x:v>
      </x:c>
      <x:c r="B1" s="6" t="str">
        <x:v>Página/flujo</x:v>
      </x:c>
      <x:c r="C1" s="6" t="str">
        <x:v>Qué probar</x:v>
      </x:c>
      <x:c r="D1" s="6" t="str">
        <x:v>Resultado</x:v>
      </x:c>
      <x:c r="E1" s="6" t="str">
        <x:v>Responsable</x:v>
      </x:c>
      <x:c r="F1" s="6" t="str">
        <x:v>Evidencia</x:v>
      </x:c>
      <x:c r="G1" s="6" t="str">
        <x:v>Notas</x:v>
      </x:c>
    </x:row>
    <x:row r="2">
      <x:c r="A2" s="14" t="str">
        <x:v>iPhone Safari</x:v>
      </x:c>
      <x:c r="B2" s="14" t="str">
        <x:v>Inicio</x:v>
      </x:c>
      <x:c r="C2" s="14" t="str">
        <x:v>Hero, menú, CTAs, WhatsApp</x:v>
      </x:c>
      <x:c r="D2" s="14" t="str">
        <x:v>Pendiente</x:v>
      </x:c>
      <x:c r="E2" s="14" t="str"/>
      <x:c r="F2" s="14" t="str"/>
      <x:c r="G2" s="14" t="str"/>
    </x:row>
    <x:row r="3">
      <x:c r="A3" s="14" t="str">
        <x:v>iPhone Safari</x:v>
      </x:c>
      <x:c r="B3" s="14" t="str">
        <x:v>Planes</x:v>
      </x:c>
      <x:c r="C3" s="14" t="str">
        <x:v>Cards, comparador, accordions, cotizar</x:v>
      </x:c>
      <x:c r="D3" s="14" t="str">
        <x:v>Pendiente</x:v>
      </x:c>
      <x:c r="E3" s="14" t="str"/>
      <x:c r="F3" s="14" t="str"/>
      <x:c r="G3" s="14" t="str"/>
    </x:row>
    <x:row r="4">
      <x:c r="A4" s="14" t="str">
        <x:v>iPhone Safari</x:v>
      </x:c>
      <x:c r="B4" s="14" t="str">
        <x:v>Recomendador</x:v>
      </x:c>
      <x:c r="C4" s="14" t="str">
        <x:v>Completar flujo y resultado</x:v>
      </x:c>
      <x:c r="D4" s="14" t="str">
        <x:v>Pendiente</x:v>
      </x:c>
      <x:c r="E4" s="14" t="str"/>
      <x:c r="F4" s="14" t="str"/>
      <x:c r="G4" s="14" t="str"/>
    </x:row>
    <x:row r="5">
      <x:c r="A5" s="14" t="str">
        <x:v>iPhone Safari</x:v>
      </x:c>
      <x:c r="B5" s="14" t="str">
        <x:v>Red</x:v>
      </x:c>
      <x:c r="C5" s="14" t="str">
        <x:v>Buscar, filtrar, no-result, WhatsApp</x:v>
      </x:c>
      <x:c r="D5" s="14" t="str">
        <x:v>Pendiente</x:v>
      </x:c>
      <x:c r="E5" s="14" t="str"/>
      <x:c r="F5" s="14" t="str"/>
      <x:c r="G5" s="14" t="str"/>
    </x:row>
    <x:row r="6">
      <x:c r="A6" s="14" t="str">
        <x:v>Android Chrome</x:v>
      </x:c>
      <x:c r="B6" s="14" t="str">
        <x:v>Inicio</x:v>
      </x:c>
      <x:c r="C6" s="14" t="str">
        <x:v>Hero, menú, CTAs, WhatsApp</x:v>
      </x:c>
      <x:c r="D6" s="14" t="str">
        <x:v>Pendiente</x:v>
      </x:c>
      <x:c r="E6" s="14" t="str"/>
      <x:c r="F6" s="14" t="str"/>
      <x:c r="G6" s="14" t="str"/>
    </x:row>
    <x:row r="7">
      <x:c r="A7" s="14" t="str">
        <x:v>Android Chrome</x:v>
      </x:c>
      <x:c r="B7" s="14" t="str">
        <x:v>Planes</x:v>
      </x:c>
      <x:c r="C7" s="14" t="str">
        <x:v>Cards, comparador, accordions, cotizar</x:v>
      </x:c>
      <x:c r="D7" s="14" t="str">
        <x:v>Pendiente</x:v>
      </x:c>
      <x:c r="E7" s="14" t="str"/>
      <x:c r="F7" s="14" t="str"/>
      <x:c r="G7" s="14" t="str"/>
    </x:row>
    <x:row r="8">
      <x:c r="A8" s="14" t="str">
        <x:v>Android Chrome</x:v>
      </x:c>
      <x:c r="B8" s="14" t="str">
        <x:v>Formularios</x:v>
      </x:c>
      <x:c r="C8" s="14" t="str">
        <x:v>Campos, validación, envío, confirmación</x:v>
      </x:c>
      <x:c r="D8" s="14" t="str">
        <x:v>Pendiente</x:v>
      </x:c>
      <x:c r="E8" s="14" t="str"/>
      <x:c r="F8" s="14" t="str"/>
      <x:c r="G8" s="14" t="str"/>
    </x:row>
    <x:row r="9">
      <x:c r="A9" s="14" t="str">
        <x:v>Desktop Chrome</x:v>
      </x:c>
      <x:c r="B9" s="14" t="str">
        <x:v>Todo el sitio</x:v>
      </x:c>
      <x:c r="C9" s="14" t="str">
        <x:v>Navegación, formularios, SEO metadata visible</x:v>
      </x:c>
      <x:c r="D9" s="14" t="str">
        <x:v>Pendiente</x:v>
      </x:c>
      <x:c r="E9" s="14" t="str"/>
      <x:c r="F9" s="14" t="str"/>
      <x:c r="G9" s="14" t="str"/>
    </x:row>
    <x:row r="10">
      <x:c r="A10" s="14" t="str">
        <x:v>Desktop Edge</x:v>
      </x:c>
      <x:c r="B10" s="14" t="str">
        <x:v>Todo el sitio</x:v>
      </x:c>
      <x:c r="C10" s="14" t="str">
        <x:v>Compatibilidad general</x:v>
      </x:c>
      <x:c r="D10" s="14" t="str">
        <x:v>Pendiente</x:v>
      </x:c>
      <x:c r="E10" s="14" t="str"/>
      <x:c r="F10" s="14" t="str"/>
      <x:c r="G10" s="14" t="str"/>
    </x:row>
  </x:sheetData>
  <x:dataValidations count="1">
    <x:dataValidation type="list" sqref="D2:D200">
      <x:formula1>Listas!$D$2:$D$4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1908e1d86344376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4" hidden="0" customWidth="1"/>
    <x:col min="3" max="3" width="18" hidden="0" customWidth="1"/>
    <x:col min="4" max="4" width="12" hidden="0" customWidth="1"/>
    <x:col min="5" max="5" width="16" hidden="0" customWidth="1"/>
    <x:col min="6" max="6" width="46" hidden="0" customWidth="1"/>
  </x:cols>
  <x:sheetData>
    <x:row r="1" ht="28" customHeight="1">
      <x:c r="A1" s="6" t="str">
        <x:v>URL actual</x:v>
      </x:c>
      <x:c r="B1" s="6" t="str">
        <x:v>URL nueva</x:v>
      </x:c>
      <x:c r="C1" s="6" t="str">
        <x:v>Status HTTP esperado</x:v>
      </x:c>
      <x:c r="D1" s="6" t="str">
        <x:v>Probado</x:v>
      </x:c>
      <x:c r="E1" s="6" t="str">
        <x:v>Resultado</x:v>
      </x:c>
      <x:c r="F1" s="6" t="str">
        <x:v>Notas</x:v>
      </x:c>
    </x:row>
    <x:row r="2">
      <x:c r="A2" s="14" t="str">
        <x:v>/</x:v>
      </x:c>
      <x:c r="B2" s="14" t="str">
        <x:v>/</x:v>
      </x:c>
      <x:c r="C2" s="14" t="str">
        <x:v>200</x:v>
      </x:c>
      <x:c r="D2" s="14" t="str">
        <x:v>No</x:v>
      </x:c>
      <x:c r="E2" s="14" t="str">
        <x:v>Pendiente</x:v>
      </x:c>
      <x:c r="F2" s="14" t="str">
        <x:v>Completar con auditoría actual.</x:v>
      </x:c>
    </x:row>
    <x:row r="3">
      <x:c r="A3" s="14" t="str">
        <x:v>/planes</x:v>
      </x:c>
      <x:c r="B3" s="14" t="str">
        <x:v>/planes</x:v>
      </x:c>
      <x:c r="C3" s="14" t="str">
        <x:v>200/301</x:v>
      </x:c>
      <x:c r="D3" s="14" t="str">
        <x:v>No</x:v>
      </x:c>
      <x:c r="E3" s="14" t="str">
        <x:v>Pendiente</x:v>
      </x:c>
      <x:c r="F3" s="14" t="str">
        <x:v>Completar según URL actual.</x:v>
      </x:c>
    </x:row>
    <x:row r="4">
      <x:c r="A4" s="14" t="str">
        <x:v>[URL antigua]</x:v>
      </x:c>
      <x:c r="B4" s="14" t="str">
        <x:v>[URL nueva]</x:v>
      </x:c>
      <x:c r="C4" s="14" t="str">
        <x:v>301</x:v>
      </x:c>
      <x:c r="D4" s="14" t="str">
        <x:v>No</x:v>
      </x:c>
      <x:c r="E4" s="14" t="str">
        <x:v>Pendiente</x:v>
      </x:c>
      <x:c r="F4" s="14" t="str">
        <x:v>Inventariar antes del go-live.</x:v>
      </x:c>
    </x:row>
  </x:sheetData>
  <x:dataValidations count="1">
    <x:dataValidation type="list" sqref="E2:E200">
      <x:formula1>Listas!$D$2:$D$4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e45712ce52c4040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2" hidden="0" customWidth="1"/>
    <x:col min="3" max="3" width="50" hidden="0" customWidth="1"/>
    <x:col min="4" max="4" width="16" hidden="0" customWidth="1"/>
    <x:col min="5" max="5" width="18" hidden="0" customWidth="1"/>
    <x:col min="6" max="6" width="40" hidden="0" customWidth="1"/>
  </x:cols>
  <x:sheetData>
    <x:row r="1" ht="32" customHeight="1">
      <x:c r="A1" s="21" t="str">
        <x:v>Decisión de lanzamiento</x:v>
      </x:c>
      <x:c r="B1" s="21"/>
      <x:c r="C1" s="21"/>
      <x:c r="D1" s="21"/>
      <x:c r="E1" s="21"/>
      <x:c r="F1" s="21"/>
    </x:row>
    <x:row r="3" ht="28" customHeight="1">
      <x:c r="A3" s="6" t="str">
        <x:v>Área</x:v>
      </x:c>
      <x:c r="B3" s="6" t="str">
        <x:v>Responsable</x:v>
      </x:c>
      <x:c r="C3" s="6" t="str">
        <x:v>Condición para aprobar</x:v>
      </x:c>
      <x:c r="D3" s="6" t="str">
        <x:v>Estado</x:v>
      </x:c>
      <x:c r="E3" s="6" t="str">
        <x:v>Firma/OK</x:v>
      </x:c>
      <x:c r="F3" s="6" t="str">
        <x:v>Notas</x:v>
      </x:c>
    </x:row>
    <x:row r="4">
      <x:c r="A4" s="14" t="str">
        <x:v>Dirección</x:v>
      </x:c>
      <x:c r="B4" s="14" t="str"/>
      <x:c r="C4" s="14" t="str">
        <x:v>Alineación estratégica y promesa de marca</x:v>
      </x:c>
      <x:c r="D4" s="14" t="str">
        <x:v>Pendiente</x:v>
      </x:c>
      <x:c r="E4" s="14" t="str"/>
      <x:c r="F4" s="14" t="str"/>
    </x:row>
    <x:row r="5">
      <x:c r="A5" s="14" t="str">
        <x:v>Marketing</x:v>
      </x:c>
      <x:c r="B5" s="14" t="str"/>
      <x:c r="C5" s="14" t="str">
        <x:v>Contenido, tono, CTAs y campañas listos</x:v>
      </x:c>
      <x:c r="D5" s="14" t="str">
        <x:v>Pendiente</x:v>
      </x:c>
      <x:c r="E5" s="14" t="str"/>
      <x:c r="F5" s="14" t="str"/>
    </x:row>
    <x:row r="6">
      <x:c r="A6" s="14" t="str">
        <x:v>TI</x:v>
      </x:c>
      <x:c r="B6" s="14" t="str"/>
      <x:c r="C6" s="14" t="str">
        <x:v>Hosting, seguridad, backups, accesos y performance OK</x:v>
      </x:c>
      <x:c r="D6" s="14" t="str">
        <x:v>Pendiente</x:v>
      </x:c>
      <x:c r="E6" s="14" t="str"/>
      <x:c r="F6" s="14" t="str"/>
    </x:row>
    <x:row r="7">
      <x:c r="A7" s="14" t="str">
        <x:v>Comercial</x:v>
      </x:c>
      <x:c r="B7" s="14" t="str"/>
      <x:c r="C7" s="14" t="str">
        <x:v>Leads, CRM, WhatsApp y asignación OK</x:v>
      </x:c>
      <x:c r="D7" s="14" t="str">
        <x:v>Pendiente</x:v>
      </x:c>
      <x:c r="E7" s="14" t="str"/>
      <x:c r="F7" s="14" t="str"/>
    </x:row>
    <x:row r="8">
      <x:c r="A8" s="14" t="str">
        <x:v>CX</x:v>
      </x:c>
      <x:c r="B8" s="14" t="str"/>
      <x:c r="C8" s="14" t="str">
        <x:v>Guía, contactos, FAQs y flujos de ayuda OK</x:v>
      </x:c>
      <x:c r="D8" s="14" t="str">
        <x:v>Pendiente</x:v>
      </x:c>
      <x:c r="E8" s="14" t="str"/>
      <x:c r="F8" s="14" t="str"/>
    </x:row>
    <x:row r="9">
      <x:c r="A9" s="14" t="str">
        <x:v>Legal/Dir. Médica</x:v>
      </x:c>
      <x:c r="B9" s="14" t="str"/>
      <x:c r="C9" s="14" t="str">
        <x:v>Claims, condiciones y privacidad aprobados</x:v>
      </x:c>
      <x:c r="D9" s="14" t="str">
        <x:v>Pendiente</x:v>
      </x:c>
      <x:c r="E9" s="14" t="str"/>
      <x:c r="F9" s="14" t="str"/>
    </x:row>
  </x:sheetData>
  <x:mergeCells>
    <x:mergeCell ref="A1:F1"/>
  </x:mergeCells>
  <x:dataValidations count="1">
    <x:dataValidation type="list" sqref="D4:D50">
      <x:formula1>Listas!$D$2:$D$4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28" customHeight="1">
      <x:c r="A1" s="6" t="str">
        <x:v>Estado</x:v>
      </x:c>
      <x:c r="B1" s="6" t="str">
        <x:v>Prioridad</x:v>
      </x:c>
      <x:c r="C1" s="6" t="str">
        <x:v>Área</x:v>
      </x:c>
      <x:c r="D1" s="6" t="str">
        <x:v>Resultado</x:v>
      </x:c>
      <x:c r="E1" s="6" t="str">
        <x:v>Bloqueante</x:v>
      </x:c>
    </x:row>
    <x:row r="2">
      <x:c r="A2" s="14" t="str">
        <x:v>No iniciado</x:v>
      </x:c>
      <x:c r="B2" s="14" t="str">
        <x:v>Alta</x:v>
      </x:c>
      <x:c r="C2" s="14" t="str">
        <x:v>UX</x:v>
      </x:c>
      <x:c r="D2" s="14" t="str">
        <x:v>Aprobado</x:v>
      </x:c>
      <x:c r="E2" s="14" t="str">
        <x:v>Sí</x:v>
      </x:c>
    </x:row>
    <x:row r="3">
      <x:c r="A3" s="14" t="str">
        <x:v>En proceso</x:v>
      </x:c>
      <x:c r="B3" s="14" t="str">
        <x:v>Media</x:v>
      </x:c>
      <x:c r="C3" s="14" t="str">
        <x:v>Contenido</x:v>
      </x:c>
      <x:c r="D3" s="14" t="str">
        <x:v>Pendiente</x:v>
      </x:c>
      <x:c r="E3" s="14" t="str">
        <x:v>No</x:v>
      </x:c>
    </x:row>
    <x:row r="4">
      <x:c r="A4" s="14" t="str">
        <x:v>Bloqueado</x:v>
      </x:c>
      <x:c r="B4" s="14" t="str">
        <x:v>Baja</x:v>
      </x:c>
      <x:c r="C4" s="14" t="str">
        <x:v>Técnico</x:v>
      </x:c>
      <x:c r="D4" s="14" t="str">
        <x:v>Rechazado</x:v>
      </x:c>
      <x:c r="E4" s="14" t="str"/>
    </x:row>
    <x:row r="5">
      <x:c r="A5" s="14" t="str">
        <x:v>Aprobado</x:v>
      </x:c>
      <x:c r="B5" s="14" t="str"/>
      <x:c r="C5" s="14" t="str">
        <x:v>SEO</x:v>
      </x:c>
      <x:c r="D5" s="14" t="str"/>
      <x:c r="E5" s="14" t="str"/>
    </x:row>
    <x:row r="6">
      <x:c r="A6" s="14" t="str">
        <x:v>Rechazado</x:v>
      </x:c>
      <x:c r="B6" s="14" t="str"/>
      <x:c r="C6" s="14" t="str">
        <x:v>Analytics</x:v>
      </x:c>
      <x:c r="D6" s="14" t="str"/>
      <x:c r="E6" s="14" t="str"/>
    </x:row>
    <x:row r="7">
      <x:c r="A7" s="14" t="str">
        <x:v>No aplica</x:v>
      </x:c>
      <x:c r="B7" s="14" t="str"/>
      <x:c r="C7" s="14" t="str">
        <x:v>CRM</x:v>
      </x:c>
      <x:c r="D7" s="14" t="str"/>
      <x:c r="E7" s="14" t="str"/>
    </x:row>
    <x:row r="8">
      <x:c r="A8" s="14" t="str"/>
      <x:c r="B8" s="14" t="str"/>
      <x:c r="C8" s="14" t="str">
        <x:v>Mobile</x:v>
      </x:c>
      <x:c r="D8" s="14" t="str"/>
      <x:c r="E8" s="14" t="str"/>
    </x:row>
    <x:row r="9">
      <x:c r="A9" s="14" t="str"/>
      <x:c r="B9" s="14" t="str"/>
      <x:c r="C9" s="14" t="str">
        <x:v>Legal</x:v>
      </x:c>
      <x:c r="D9" s="14" t="str"/>
      <x:c r="E9" s="14" t="str"/>
    </x:row>
  </x:sheetData>
  <x:pageMargins left="0.7" right="0.7" top="0.75" bottom="0.75" header="0.3" footer="0.3"/>
</x:worksheet>
</file>